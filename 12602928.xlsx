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<sst xmlns="http://schemas.openxmlformats.org/spreadsheetml/2006/main" count="58" uniqueCount="54">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</sst>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962962962963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O7" sqref="O7"/>
    </sheetView>
  </sheetViews>
  <sheetFormatPr defaultColWidth="8.62962962962963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/>
      <c r="C2" s="3"/>
      <c r="D2" s="3"/>
      <c r="E2" s="2" t="s">
        <v>32</v>
      </c>
      <c r="F2" s="3"/>
      <c r="G2" s="3"/>
    </row>
    <row r="3" ht="19.5" customHeight="1" spans="1:14">
      <c r="A3" s="2" t="s">
        <v>33</v>
      </c>
      <c r="B3" s="3"/>
      <c r="C3" s="3"/>
      <c r="D3" s="3"/>
      <c r="E3" s="2" t="s">
        <v>34</v>
      </c>
      <c r="F3" s="3"/>
      <c r="G3" s="3"/>
    </row>
    <row r="4" spans="1:14">
      <c r="A4" s="4" t="s">
        <v>35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36</v>
      </c>
      <c r="B5" s="5" t="s">
        <v>37</v>
      </c>
      <c r="C5" s="5" t="s">
        <v>38</v>
      </c>
      <c r="D5" s="5" t="s">
        <v>39</v>
      </c>
      <c r="E5" s="5" t="s">
        <v>40</v>
      </c>
      <c r="F5" s="5" t="s">
        <v>41</v>
      </c>
      <c r="G5" s="5" t="s">
        <v>42</v>
      </c>
      <c r="H5" s="5" t="s">
        <v>43</v>
      </c>
      <c r="I5" s="5" t="s">
        <v>44</v>
      </c>
      <c r="J5" s="5" t="s">
        <v>45</v>
      </c>
      <c r="K5" s="5" t="s">
        <v>46</v>
      </c>
      <c r="L5" s="5" t="s">
        <v>47</v>
      </c>
      <c r="M5" s="5" t="s">
        <v>48</v>
      </c>
      <c r="N5" s="5" t="s">
        <v>49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50</v>
      </c>
      <c r="L6" s="9" t="s">
        <v>51</v>
      </c>
      <c r="M6" s="9" t="s">
        <v>52</v>
      </c>
      <c r="N6" s="10" t="s">
        <v>53</v>
      </c>
    </row>
    <row r="7" ht="41.4" spans="1:14">
      <c r="A7" s="6">
        <v>46224</v>
      </c>
      <c r="B7" s="7">
        <v>400</v>
      </c>
      <c r="C7" s="7">
        <v>50</v>
      </c>
      <c r="D7" s="7">
        <v>100</v>
      </c>
      <c r="E7" s="7">
        <v>130</v>
      </c>
      <c r="F7" s="7">
        <v>300</v>
      </c>
      <c r="G7" s="7">
        <v>5</v>
      </c>
      <c r="H7" s="7">
        <v>30</v>
      </c>
      <c r="I7" s="8">
        <f>IF(SUM(B7:F7,H7)=0,"",SUM(B7:F7,H7))</f>
        <v>1010</v>
      </c>
      <c r="J7" s="8">
        <f>IF(I7="","",1440-I7)</f>
        <v>430</v>
      </c>
      <c r="K7" s="9" t="s">
        <v>50</v>
      </c>
      <c r="L7" s="9" t="s">
        <v>51</v>
      </c>
      <c r="M7" s="9" t="s">
        <v>52</v>
      </c>
      <c r="N7" s="10" t="s">
        <v>53</v>
      </c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/>
      <c r="B16" s="12"/>
      <c r="C16" s="12"/>
      <c r="D16" s="12"/>
      <c r="E16" s="12"/>
      <c r="F16" s="12"/>
      <c r="G16" s="12"/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>
      <c r="A17" s="11"/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/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/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/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/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/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/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7 K8:K401">
      <formula1>"Excellent,Good,Neutral,Low,Stressed"</formula1>
    </dataValidation>
    <dataValidation type="list" allowBlank="1" prompt="Select today's satisfaction level" sqref="L6:L7 L8:L401">
      <formula1>"Very Satisfied,Satisfied,Neutral,Unsatisfied,Very Unsatisfied"</formula1>
    </dataValidation>
    <dataValidation type="list" allowBlank="1" prompt="Select today's energy level" sqref="M6:M7 M8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prash</cp:lastModifiedBy>
  <cp:revision>0</cp:revision>
  <dcterms:created xsi:type="dcterms:W3CDTF">2026-07-24T11:49:00Z</dcterms:created>
  <dcterms:modified xsi:type="dcterms:W3CDTF">2026-08-26T07:59:55Z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3C74DC48217B4FA380A8E8953E290531_12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